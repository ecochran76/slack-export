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cu23/Desktop/"/>
    </mc:Choice>
  </mc:AlternateContent>
  <xr:revisionPtr revIDLastSave="0" documentId="8_{CDB3555F-9E8D-8540-BEEB-CC2E24402263}" xr6:coauthVersionLast="45" xr6:coauthVersionMax="45" xr10:uidLastSave="{00000000-0000-0000-0000-000000000000}"/>
  <bookViews>
    <workbookView xWindow="0" yWindow="0" windowWidth="51200" windowHeight="28800" xr2:uid="{D63129AC-17A6-C84C-B2BC-531F6A899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1" l="1"/>
  <c r="H19" i="1"/>
  <c r="I18" i="1"/>
  <c r="H18" i="1"/>
  <c r="H15" i="1"/>
  <c r="H14" i="1"/>
  <c r="I13" i="1"/>
  <c r="I15" i="1" s="1"/>
  <c r="H13" i="1"/>
  <c r="I12" i="1"/>
  <c r="H12" i="1"/>
  <c r="I14" i="1" l="1"/>
</calcChain>
</file>

<file path=xl/sharedStrings.xml><?xml version="1.0" encoding="utf-8"?>
<sst xmlns="http://schemas.openxmlformats.org/spreadsheetml/2006/main" count="28" uniqueCount="24">
  <si>
    <t>Solution B</t>
  </si>
  <si>
    <t>Invigorate</t>
  </si>
  <si>
    <t>%</t>
  </si>
  <si>
    <t>Solution A</t>
  </si>
  <si>
    <t>-</t>
  </si>
  <si>
    <t>Price</t>
  </si>
  <si>
    <t>A</t>
  </si>
  <si>
    <t>B</t>
  </si>
  <si>
    <t>Water</t>
  </si>
  <si>
    <t>Concentrate</t>
  </si>
  <si>
    <t>1/4 dilution</t>
  </si>
  <si>
    <t>1/5 dilution</t>
  </si>
  <si>
    <t>Hawk Seale</t>
  </si>
  <si>
    <t>Per sq. yard</t>
  </si>
  <si>
    <t xml:space="preserve"> 55 gal drum</t>
  </si>
  <si>
    <t>Shipping</t>
  </si>
  <si>
    <t>$190-$265</t>
  </si>
  <si>
    <t>5 gal pails</t>
  </si>
  <si>
    <t>$32-$62</t>
  </si>
  <si>
    <t>Application 1/10 dilution apply 2 gallon per sq/yard</t>
  </si>
  <si>
    <t>Drum</t>
  </si>
  <si>
    <t>Retail</t>
  </si>
  <si>
    <t>Pail</t>
  </si>
  <si>
    <t>His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</si>
</sst>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16" fontId="0" fillId="0" borderId="0" xfId="0" applyNumberFormat="1"/>
    <xf numFmtId="4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9C4A-1C36-7D47-A0AB-0F0E0D973913}">
  <dimension ref="E6:M19"/>
  <sheetViews>
    <sheetView tabSelected="1" workbookViewId="0">
      <selection activeCell="J25" sqref="J25"/>
    </sheetView>
  </sheetViews>
  <sheetFormatPr baseColWidth="10" defaultRowHeight="16" x14ac:dyDescent="0.2"/>
  <sheetData>
    <row r="6" spans="5:13" x14ac:dyDescent="0.2">
      <c r="H6" s="2" t="s">
        <v>6</v>
      </c>
      <c r="I6" s="2" t="s">
        <v>7</v>
      </c>
      <c r="K6" s="7" t="s">
        <v>12</v>
      </c>
      <c r="L6" s="7"/>
      <c r="M6" s="7"/>
    </row>
    <row r="7" spans="5:13" x14ac:dyDescent="0.2">
      <c r="H7" s="2" t="s">
        <v>2</v>
      </c>
      <c r="I7" s="2" t="s">
        <v>2</v>
      </c>
      <c r="L7" s="2" t="s">
        <v>21</v>
      </c>
      <c r="M7" s="2" t="s">
        <v>23</v>
      </c>
    </row>
    <row r="8" spans="5:13" x14ac:dyDescent="0.2">
      <c r="F8" t="s">
        <v>3</v>
      </c>
      <c r="G8" s="1">
        <v>2.75</v>
      </c>
      <c r="H8" s="2">
        <v>0.9</v>
      </c>
      <c r="I8" s="2" t="s">
        <v>4</v>
      </c>
      <c r="K8" t="s">
        <v>20</v>
      </c>
      <c r="L8" s="1">
        <v>2000</v>
      </c>
      <c r="M8" s="1">
        <v>800</v>
      </c>
    </row>
    <row r="9" spans="5:13" x14ac:dyDescent="0.2">
      <c r="F9" t="s">
        <v>0</v>
      </c>
      <c r="G9" s="1">
        <v>4.75</v>
      </c>
      <c r="H9" s="2" t="s">
        <v>4</v>
      </c>
      <c r="I9" s="2">
        <v>0.9</v>
      </c>
      <c r="K9" t="s">
        <v>22</v>
      </c>
      <c r="L9" s="1">
        <v>200</v>
      </c>
      <c r="M9" s="1">
        <v>80</v>
      </c>
    </row>
    <row r="10" spans="5:13" x14ac:dyDescent="0.2">
      <c r="F10" t="s">
        <v>1</v>
      </c>
      <c r="G10" s="1">
        <v>1</v>
      </c>
      <c r="H10" s="2">
        <v>0.1</v>
      </c>
      <c r="I10" s="2">
        <v>0.1</v>
      </c>
    </row>
    <row r="11" spans="5:13" x14ac:dyDescent="0.2">
      <c r="F11" t="s">
        <v>8</v>
      </c>
      <c r="G11" s="1">
        <v>0.01</v>
      </c>
      <c r="H11" s="2">
        <v>0</v>
      </c>
      <c r="I11" s="2">
        <v>0</v>
      </c>
    </row>
    <row r="12" spans="5:13" x14ac:dyDescent="0.2">
      <c r="H12" s="2">
        <f>SUM(H8:H11)</f>
        <v>1</v>
      </c>
      <c r="I12" s="2">
        <f>SUM(I8:I11)</f>
        <v>1</v>
      </c>
      <c r="K12" t="s">
        <v>13</v>
      </c>
      <c r="L12" t="s">
        <v>15</v>
      </c>
    </row>
    <row r="13" spans="5:13" x14ac:dyDescent="0.2">
      <c r="E13" t="s">
        <v>9</v>
      </c>
      <c r="F13" t="s">
        <v>5</v>
      </c>
      <c r="H13" s="3">
        <f>G8*H8+G10*H10</f>
        <v>2.5750000000000002</v>
      </c>
      <c r="I13" s="3">
        <f>G9*I9+G10*I10</f>
        <v>4.375</v>
      </c>
      <c r="K13" s="1">
        <v>3.3</v>
      </c>
      <c r="L13" t="s">
        <v>16</v>
      </c>
      <c r="M13" t="s">
        <v>14</v>
      </c>
    </row>
    <row r="14" spans="5:13" x14ac:dyDescent="0.2">
      <c r="F14" s="4" t="s">
        <v>10</v>
      </c>
      <c r="H14" s="5">
        <f>H13/4</f>
        <v>0.64375000000000004</v>
      </c>
      <c r="I14" s="5">
        <f>I13/4</f>
        <v>1.09375</v>
      </c>
      <c r="K14" s="1">
        <v>3.65</v>
      </c>
      <c r="L14" t="s">
        <v>18</v>
      </c>
      <c r="M14" s="6" t="s">
        <v>17</v>
      </c>
    </row>
    <row r="15" spans="5:13" x14ac:dyDescent="0.2">
      <c r="F15" t="s">
        <v>11</v>
      </c>
      <c r="H15" s="5">
        <f>H13/5</f>
        <v>0.51500000000000001</v>
      </c>
      <c r="I15" s="5">
        <f>I13/5</f>
        <v>0.875</v>
      </c>
    </row>
    <row r="16" spans="5:13" x14ac:dyDescent="0.2">
      <c r="K16" s="5" t="s">
        <v>19</v>
      </c>
    </row>
    <row r="17" spans="6:11" x14ac:dyDescent="0.2">
      <c r="K17" s="5"/>
    </row>
    <row r="18" spans="6:11" x14ac:dyDescent="0.2">
      <c r="F18" t="s">
        <v>20</v>
      </c>
      <c r="H18" s="5">
        <f>H13*55</f>
        <v>141.625</v>
      </c>
      <c r="I18" s="5">
        <f>I13*55</f>
        <v>240.625</v>
      </c>
    </row>
    <row r="19" spans="6:11" x14ac:dyDescent="0.2">
      <c r="F19" t="s">
        <v>22</v>
      </c>
      <c r="H19" s="5">
        <f>H13*5</f>
        <v>12.875</v>
      </c>
      <c r="I19" s="5">
        <f>I13*5</f>
        <v>21.875</v>
      </c>
    </row>
  </sheetData>
  <mergeCells count="1">
    <mergeCell ref="K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Nacu Hernandez</dc:creator>
  <cp:lastModifiedBy>Nacu Hernandez</cp:lastModifiedBy>
  <dcterms:created xsi:type="dcterms:W3CDTF">2020-08-19T18:12:13Z</dcterms:created>
  <dcterms:modified xsi:type="dcterms:W3CDTF">2020-08-20T15:46:51Z</dcterms:modified>
</cp:coreProperties>
</file>